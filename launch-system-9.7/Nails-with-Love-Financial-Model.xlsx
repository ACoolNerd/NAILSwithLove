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Budget" sheetId="1" state="visible" r:id="rId1"/>
    <sheet xmlns:r="http://schemas.openxmlformats.org/officeDocument/2006/relationships" name="Break-even" sheetId="2" state="visible" r:id="rId2"/>
    <sheet xmlns:r="http://schemas.openxmlformats.org/officeDocument/2006/relationships" name="Service Pricing" sheetId="3" state="visible" r:id="rId3"/>
    <sheet xmlns:r="http://schemas.openxmlformats.org/officeDocument/2006/relationships" name="Investor 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COP] 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2036"/>
    </font>
  </fonts>
  <fills count="3">
    <fill>
      <patternFill/>
    </fill>
    <fill>
      <patternFill patternType="gray125"/>
    </fill>
    <fill>
      <patternFill patternType="solid">
        <fgColor rgb="007A2036"/>
      </patternFill>
    </fill>
  </fills>
  <borders count="2">
    <border>
      <left/>
      <right/>
      <top/>
      <bottom/>
      <diagonal/>
    </border>
    <border>
      <bottom style="thin">
        <color rgb="00DEC7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Category</t>
        </is>
      </c>
      <c r="B1" s="1" t="inlineStr">
        <is>
          <t>Target COP</t>
        </is>
      </c>
    </row>
    <row r="2">
      <c r="A2" s="2" t="inlineStr">
        <is>
          <t>Registration, accountant and legal review</t>
        </is>
      </c>
      <c r="B2" s="3" t="n">
        <v>650000</v>
      </c>
    </row>
    <row r="3">
      <c r="A3" s="2" t="inlineStr">
        <is>
          <t>Training and biosecurity</t>
        </is>
      </c>
      <c r="B3" s="3" t="n">
        <v>1200000</v>
      </c>
    </row>
    <row r="4">
      <c r="A4" s="2" t="inlineStr">
        <is>
          <t>Desk, chairs, lighting and storage</t>
        </is>
      </c>
      <c r="B4" s="3" t="n">
        <v>1800000</v>
      </c>
    </row>
    <row r="5">
      <c r="A5" s="2" t="inlineStr">
        <is>
          <t>Lamp, e-file, dust control and equipment</t>
        </is>
      </c>
      <c r="B5" s="3" t="n">
        <v>1500000</v>
      </c>
    </row>
    <row r="6">
      <c r="A6" s="2" t="inlineStr">
        <is>
          <t>Sanitation, PPE, linens and waste setup</t>
        </is>
      </c>
      <c r="B6" s="3" t="n">
        <v>650000</v>
      </c>
    </row>
    <row r="7">
      <c r="A7" s="2" t="inlineStr">
        <is>
          <t>Initial professional inventory</t>
        </is>
      </c>
      <c r="B7" s="3" t="n">
        <v>2600000</v>
      </c>
    </row>
    <row r="8">
      <c r="A8" s="2" t="inlineStr">
        <is>
          <t>Mobile case and travel kit</t>
        </is>
      </c>
      <c r="B8" s="3" t="n">
        <v>750000</v>
      </c>
    </row>
    <row r="9">
      <c r="A9" s="2" t="inlineStr">
        <is>
          <t>Website, brand, photography and print</t>
        </is>
      </c>
      <c r="B9" s="3" t="n">
        <v>1200000</v>
      </c>
    </row>
    <row r="10">
      <c r="A10" s="2" t="inlineStr">
        <is>
          <t>Payments, software and setup</t>
        </is>
      </c>
      <c r="B10" s="3" t="n">
        <v>400000</v>
      </c>
    </row>
    <row r="11">
      <c r="A11" s="2" t="inlineStr">
        <is>
          <t>Launch advertising and partnerships</t>
        </is>
      </c>
      <c r="B11" s="3" t="n">
        <v>900000</v>
      </c>
    </row>
    <row r="12">
      <c r="A12" s="2" t="inlineStr">
        <is>
          <t>Working capital reserve</t>
        </is>
      </c>
      <c r="B12" s="3" t="n">
        <v>2500000</v>
      </c>
    </row>
    <row r="13">
      <c r="A13" s="2" t="inlineStr">
        <is>
          <t>Contingency</t>
        </is>
      </c>
      <c r="B13" s="3" t="n">
        <v>850000</v>
      </c>
    </row>
    <row r="14">
      <c r="A14" s="4" t="inlineStr">
        <is>
          <t>TOTAL</t>
        </is>
      </c>
      <c r="B14" s="5">
        <f>SUM(B2:B13)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2" t="n"/>
      <c r="D1" s="2" t="n"/>
    </row>
    <row r="2">
      <c r="A2" s="2" t="inlineStr">
        <is>
          <t>Average ticket</t>
        </is>
      </c>
      <c r="B2" s="3" t="n">
        <v>115000</v>
      </c>
      <c r="C2" s="2" t="n"/>
      <c r="D2" s="2" t="n"/>
    </row>
    <row r="3">
      <c r="A3" s="2" t="inlineStr">
        <is>
          <t>Product cost %</t>
        </is>
      </c>
      <c r="B3" s="6" t="n">
        <v>0.18</v>
      </c>
      <c r="C3" s="2" t="n"/>
      <c r="D3" s="2" t="n"/>
    </row>
    <row r="4">
      <c r="A4" s="2" t="inlineStr">
        <is>
          <t>Payment cost %</t>
        </is>
      </c>
      <c r="B4" s="6" t="n">
        <v>0.025</v>
      </c>
      <c r="C4" s="2" t="n"/>
      <c r="D4" s="2" t="n"/>
    </row>
    <row r="5">
      <c r="A5" s="2" t="inlineStr">
        <is>
          <t>Travel per appointment</t>
        </is>
      </c>
      <c r="B5" s="3" t="n">
        <v>12000</v>
      </c>
      <c r="C5" s="2" t="n"/>
      <c r="D5" s="2" t="n"/>
    </row>
    <row r="6">
      <c r="A6" s="2" t="inlineStr">
        <is>
          <t>Fixed monthly overhead</t>
        </is>
      </c>
      <c r="B6" s="3" t="n">
        <v>1750000</v>
      </c>
      <c r="C6" s="2" t="n"/>
      <c r="D6" s="2" t="n"/>
    </row>
    <row r="7">
      <c r="A7" s="2" t="inlineStr">
        <is>
          <t>Owner compensation target</t>
        </is>
      </c>
      <c r="B7" s="3" t="n">
        <v>2200000</v>
      </c>
      <c r="C7" s="2" t="n"/>
      <c r="D7" s="2" t="n"/>
    </row>
    <row r="8">
      <c r="A8" s="2" t="inlineStr">
        <is>
          <t>Practical monthly capacity</t>
        </is>
      </c>
      <c r="B8" s="3" t="n">
        <v>66</v>
      </c>
      <c r="C8" s="2" t="n"/>
      <c r="D8" s="2" t="n"/>
    </row>
    <row r="9">
      <c r="A9" s="2" t="inlineStr">
        <is>
          <t>Contribution per appointment</t>
        </is>
      </c>
      <c r="B9" s="3">
        <f>B2*(1-B3-B4)-B5</f>
        <v/>
      </c>
      <c r="C9" s="2" t="n"/>
      <c r="D9" s="2" t="n"/>
    </row>
    <row r="10">
      <c r="A10" s="2" t="inlineStr">
        <is>
          <t>Operating break-even visits</t>
        </is>
      </c>
      <c r="B10" s="3">
        <f>ROUNDUP(B6/B9,0)</f>
        <v/>
      </c>
      <c r="C10" s="2" t="n"/>
      <c r="D10" s="2" t="n"/>
    </row>
    <row r="11">
      <c r="A11" s="2" t="inlineStr">
        <is>
          <t>Break-even + owner compensation</t>
        </is>
      </c>
      <c r="B11" s="3">
        <f>ROUNDUP((B6+B7)/B9,0)</f>
        <v/>
      </c>
      <c r="C11" s="2" t="n"/>
      <c r="D11" s="2" t="n"/>
    </row>
    <row r="12">
      <c r="A12" s="1" t="n"/>
      <c r="B12" s="1" t="n"/>
      <c r="C12" s="1" t="n"/>
      <c r="D12" s="1" t="n"/>
    </row>
    <row r="13">
      <c r="A13" s="2" t="inlineStr">
        <is>
          <t>Scenario visits</t>
        </is>
      </c>
      <c r="B13" s="3" t="inlineStr">
        <is>
          <t>Revenue</t>
        </is>
      </c>
      <c r="C13" s="3" t="inlineStr">
        <is>
          <t>Contribution</t>
        </is>
      </c>
      <c r="D13" s="3" t="inlineStr">
        <is>
          <t>Operating surplus before owner/tax/debt</t>
        </is>
      </c>
    </row>
    <row r="14">
      <c r="A14" s="2" t="n">
        <v>23</v>
      </c>
      <c r="B14" s="3">
        <f>A14*$B$2</f>
        <v/>
      </c>
      <c r="C14" s="3">
        <f>A14*$B$9</f>
        <v/>
      </c>
      <c r="D14" s="3">
        <f>C14-$B$6</f>
        <v/>
      </c>
    </row>
    <row r="15">
      <c r="A15" s="2" t="n">
        <v>30</v>
      </c>
      <c r="B15" s="3">
        <f>A15*$B$2</f>
        <v/>
      </c>
      <c r="C15" s="3">
        <f>A15*$B$9</f>
        <v/>
      </c>
      <c r="D15" s="3">
        <f>C15-$B$6</f>
        <v/>
      </c>
    </row>
    <row r="16">
      <c r="A16" s="2" t="n">
        <v>40</v>
      </c>
      <c r="B16" s="3">
        <f>A16*$B$2</f>
        <v/>
      </c>
      <c r="C16" s="3">
        <f>A16*$B$9</f>
        <v/>
      </c>
      <c r="D16" s="3">
        <f>C16-$B$6</f>
        <v/>
      </c>
    </row>
    <row r="17">
      <c r="A17" s="2" t="n">
        <v>50</v>
      </c>
      <c r="B17" s="3">
        <f>A17*$B$2</f>
        <v/>
      </c>
      <c r="C17" s="3">
        <f>A17*$B$9</f>
        <v/>
      </c>
      <c r="D17" s="3">
        <f>C17-$B$6</f>
        <v/>
      </c>
    </row>
    <row r="18">
      <c r="A18" s="2" t="n">
        <v>66</v>
      </c>
      <c r="B18" s="3">
        <f>A18*$B$2</f>
        <v/>
      </c>
      <c r="C18" s="3">
        <f>A18*$B$9</f>
        <v/>
      </c>
      <c r="D18" s="3">
        <f>C18-$B$6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Service</t>
        </is>
      </c>
      <c r="B1" s="1" t="inlineStr">
        <is>
          <t>Public price low COP</t>
        </is>
      </c>
      <c r="C1" s="1" t="inlineStr">
        <is>
          <t>Public price high COP</t>
        </is>
      </c>
      <c r="D1" s="1" t="inlineStr">
        <is>
          <t>Notes</t>
        </is>
      </c>
    </row>
    <row r="2">
      <c r="A2" s="2" t="inlineStr">
        <is>
          <t>First boutique appointment</t>
        </is>
      </c>
      <c r="B2" s="3" t="n">
        <v>55000</v>
      </c>
      <c r="C2" s="3" t="n">
        <v>55000</v>
      </c>
      <c r="D2" s="2" t="inlineStr">
        <is>
          <t>New clients; simple art; conditions apply</t>
        </is>
      </c>
    </row>
    <row r="3">
      <c r="A3" s="2" t="inlineStr">
        <is>
          <t>Classic manicure</t>
        </is>
      </c>
      <c r="B3" s="3" t="n">
        <v>35000</v>
      </c>
      <c r="C3" s="3" t="n">
        <v>35000</v>
      </c>
      <c r="D3" s="2" t="inlineStr"/>
    </row>
    <row r="4">
      <c r="A4" s="2" t="inlineStr">
        <is>
          <t>Semipermanent manicure</t>
        </is>
      </c>
      <c r="B4" s="3" t="n">
        <v>55000</v>
      </c>
      <c r="C4" s="3" t="n">
        <v>80000</v>
      </c>
      <c r="D4" s="2" t="inlineStr"/>
    </row>
    <row r="5">
      <c r="A5" s="2" t="inlineStr">
        <is>
          <t>Classic pedicure</t>
        </is>
      </c>
      <c r="B5" s="3" t="n">
        <v>45000</v>
      </c>
      <c r="C5" s="3" t="n">
        <v>55000</v>
      </c>
      <c r="D5" s="2" t="inlineStr"/>
    </row>
    <row r="6">
      <c r="A6" s="2" t="inlineStr">
        <is>
          <t>Semipermanent pedicure</t>
        </is>
      </c>
      <c r="B6" s="3" t="n">
        <v>60000</v>
      </c>
      <c r="C6" s="3" t="n">
        <v>80000</v>
      </c>
      <c r="D6" s="2" t="inlineStr"/>
    </row>
    <row r="7">
      <c r="A7" s="2" t="inlineStr">
        <is>
          <t>Semipermanent mani + pedi</t>
        </is>
      </c>
      <c r="B7" s="3" t="n">
        <v>105000</v>
      </c>
      <c r="C7" s="3" t="n">
        <v>150000</v>
      </c>
      <c r="D7" s="2" t="inlineStr"/>
    </row>
    <row r="8">
      <c r="A8" s="2" t="inlineStr">
        <is>
          <t>Rubber/builder overlay</t>
        </is>
      </c>
      <c r="B8" s="3" t="n">
        <v>80000</v>
      </c>
      <c r="C8" s="3" t="n">
        <v>110000</v>
      </c>
      <c r="D8" s="2" t="inlineStr">
        <is>
          <t>From price</t>
        </is>
      </c>
    </row>
    <row r="9">
      <c r="A9" s="2" t="inlineStr">
        <is>
          <t>Gel X / soft gel</t>
        </is>
      </c>
      <c r="B9" s="3" t="n">
        <v>120000</v>
      </c>
      <c r="C9" s="3" t="n">
        <v>145000</v>
      </c>
      <c r="D9" s="2" t="inlineStr"/>
    </row>
    <row r="10">
      <c r="A10" s="2" t="inlineStr">
        <is>
          <t>Acrylic full set</t>
        </is>
      </c>
      <c r="B10" s="3" t="n">
        <v>135000</v>
      </c>
      <c r="C10" s="3" t="n">
        <v>165000</v>
      </c>
      <c r="D10" s="2" t="inlineStr"/>
    </row>
    <row r="11">
      <c r="A11" s="2" t="inlineStr">
        <is>
          <t>Acrylic maintenance</t>
        </is>
      </c>
      <c r="B11" s="3" t="n">
        <v>85000</v>
      </c>
      <c r="C11" s="3" t="n">
        <v>110000</v>
      </c>
      <c r="D11" s="2" t="inlineStr"/>
    </row>
    <row r="12">
      <c r="A12" s="2" t="inlineStr">
        <is>
          <t>Bridal/events</t>
        </is>
      </c>
      <c r="B12" s="3" t="n">
        <v>180000</v>
      </c>
      <c r="C12" s="3" t="n">
        <v>250000</v>
      </c>
      <c r="D12" s="2" t="inlineStr">
        <is>
          <t>From price; custom quote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4" customWidth="1" min="4" max="4"/>
  </cols>
  <sheetData>
    <row r="1">
      <c r="A1" s="1" t="inlineStr">
        <is>
          <t>Position</t>
        </is>
      </c>
      <c r="B1" s="1" t="inlineStr">
        <is>
          <t>Contribution COP</t>
        </is>
      </c>
      <c r="C1" s="1" t="inlineStr">
        <is>
          <t>Target cap 1.20x</t>
        </is>
      </c>
      <c r="D1" s="1" t="inlineStr">
        <is>
          <t>Share of investor pool</t>
        </is>
      </c>
    </row>
    <row r="2">
      <c r="A2" s="2" t="inlineStr">
        <is>
          <t>Founding Supporter</t>
        </is>
      </c>
      <c r="B2" s="3" t="n">
        <v>1500000</v>
      </c>
      <c r="C2" s="3" t="n">
        <v>1800000</v>
      </c>
      <c r="D2" s="7" t="n">
        <v>0.1</v>
      </c>
    </row>
    <row r="3">
      <c r="A3" s="2" t="inlineStr">
        <is>
          <t>Community Partner</t>
        </is>
      </c>
      <c r="B3" s="3" t="n">
        <v>2000000</v>
      </c>
      <c r="C3" s="3" t="n">
        <v>2400000</v>
      </c>
      <c r="D3" s="7" t="n">
        <v>0.1333</v>
      </c>
    </row>
    <row r="4">
      <c r="A4" s="2" t="inlineStr">
        <is>
          <t>Growth Partner</t>
        </is>
      </c>
      <c r="B4" s="3" t="n">
        <v>2500000</v>
      </c>
      <c r="C4" s="3" t="n">
        <v>3000000</v>
      </c>
      <c r="D4" s="7" t="n">
        <v>0.1667</v>
      </c>
    </row>
    <row r="5">
      <c r="A5" s="2" t="inlineStr">
        <is>
          <t>Lead Partner</t>
        </is>
      </c>
      <c r="B5" s="3" t="n">
        <v>4000000</v>
      </c>
      <c r="C5" s="3" t="n">
        <v>4800000</v>
      </c>
      <c r="D5" s="7" t="n">
        <v>0.2667</v>
      </c>
    </row>
    <row r="6">
      <c r="A6" s="2" t="inlineStr">
        <is>
          <t>Launch Partner</t>
        </is>
      </c>
      <c r="B6" s="3" t="n">
        <v>5000000</v>
      </c>
      <c r="C6" s="3" t="n">
        <v>6000000</v>
      </c>
      <c r="D6" s="7" t="n">
        <v>0.3333</v>
      </c>
    </row>
    <row r="7">
      <c r="A7" s="2" t="inlineStr">
        <is>
          <t>TOTAL</t>
        </is>
      </c>
      <c r="B7" s="3">
        <f>SUM(B2:B6)</f>
        <v/>
      </c>
      <c r="C7" s="3">
        <f>SUM(C2:C6)</f>
        <v/>
      </c>
      <c r="D7" s="7">
        <f>SUM(D2:D6)</f>
        <v/>
      </c>
    </row>
    <row r="8">
      <c r="A8" s="2" t="n"/>
      <c r="B8" s="2" t="n"/>
      <c r="C8" s="2" t="n"/>
      <c r="D8" s="2" t="n"/>
    </row>
    <row r="9">
      <c r="A9" s="4" t="inlineStr">
        <is>
          <t>WARNING</t>
        </is>
      </c>
      <c r="B9" s="2" t="inlineStr">
        <is>
          <t>Illustrative only; not a securities offer or guaranteed return. Form an S.A.S. before equity and obtain Colombian legal/tax advice.</t>
        </is>
      </c>
      <c r="C9" s="2" t="n"/>
      <c r="D9" s="2" t="n"/>
    </row>
    <row r="10">
      <c r="A10" s="2" t="n"/>
      <c r="B10" s="2" t="n"/>
      <c r="C10" s="2" t="n"/>
      <c r="D10" s="2" t="n"/>
    </row>
  </sheetData>
  <mergeCells count="1">
    <mergeCell ref="B9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2026-07-13T07:41:51Z</dcterms:created>
  <dcterms:modified xmlns:dcterms="http://purl.org/dc/terms/" xmlns:xsi="http://www.w3.org/2001/XMLSchema-instance" xsi:type="dcterms:W3CDTF">2026-07-13T07:41:51Z</dcterms:modified>
</cp:coreProperties>
</file>